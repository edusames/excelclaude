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eysameshima_spregula_sp_gov_br/Documents/Documentos/"/>
    </mc:Choice>
  </mc:AlternateContent>
  <xr:revisionPtr revIDLastSave="0" documentId="8_{F24F6FA0-FA4C-4F9F-A287-CCD8624D61CE}" xr6:coauthVersionLast="47" xr6:coauthVersionMax="47" xr10:uidLastSave="{00000000-0000-0000-0000-000000000000}"/>
  <bookViews>
    <workbookView xWindow="28680" yWindow="-120" windowWidth="29040" windowHeight="15720" xr2:uid="{15E7C10F-074E-4D97-883C-FD22E0792794}"/>
  </bookViews>
  <sheets>
    <sheet name="Planilha1" sheetId="1" r:id="rId1"/>
    <sheet name="Planilha2" sheetId="2" r:id="rId2"/>
  </sheets>
  <definedNames>
    <definedName name="Aporte">Planilha1!$C$12</definedName>
    <definedName name="DividendoMensal">Planilha1!$C$16</definedName>
    <definedName name="Patrimonio">Planilha1!$C$15</definedName>
    <definedName name="qtddAnos">Planilha1!$C$13</definedName>
    <definedName name="RendimentoCarteira">Planilha1!$C$8</definedName>
    <definedName name="Salario">Planilha1!$C$7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0" i="1" l="1"/>
  <c r="D30" i="1" s="1"/>
  <c r="C31" i="1"/>
  <c r="D31" i="1" s="1"/>
  <c r="C32" i="1"/>
  <c r="D32" i="1" s="1"/>
  <c r="C33" i="1"/>
  <c r="D33" i="1" s="1"/>
  <c r="C34" i="1"/>
  <c r="D34" i="1" s="1"/>
  <c r="C29" i="1"/>
  <c r="D29" i="1" s="1"/>
  <c r="I8" i="2"/>
  <c r="H8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4" i="2"/>
  <c r="C9" i="1"/>
  <c r="C12" i="1" s="1"/>
  <c r="C19" i="1" l="1"/>
  <c r="D19" i="1" s="1"/>
  <c r="C15" i="1"/>
  <c r="C16" i="1" s="1"/>
  <c r="C21" i="1"/>
  <c r="D21" i="1" s="1"/>
  <c r="C20" i="1"/>
  <c r="D20" i="1" s="1"/>
  <c r="C22" i="1"/>
  <c r="D22" i="1" s="1"/>
  <c r="D35" i="1"/>
</calcChain>
</file>

<file path=xl/sharedStrings.xml><?xml version="1.0" encoding="utf-8"?>
<sst xmlns="http://schemas.openxmlformats.org/spreadsheetml/2006/main" count="71" uniqueCount="35">
  <si>
    <t>Quanto investir?</t>
  </si>
  <si>
    <t>Por quantos anos?</t>
  </si>
  <si>
    <t>Taxa de Rendimento Mensal?</t>
  </si>
  <si>
    <t>Patrimonio acumulado</t>
  </si>
  <si>
    <t>Dividendos mensais</t>
  </si>
  <si>
    <t>INVESTIMENTO MENSAL</t>
  </si>
  <si>
    <t>CENÁRIOS</t>
  </si>
  <si>
    <t>2 anos</t>
  </si>
  <si>
    <t>5 anos</t>
  </si>
  <si>
    <t>10 anos</t>
  </si>
  <si>
    <t>20 anos</t>
  </si>
  <si>
    <t>CONFIGURAÇÕES</t>
  </si>
  <si>
    <t>Rendimento Carteira</t>
  </si>
  <si>
    <t>Salário</t>
  </si>
  <si>
    <t>DIVIDENDOS</t>
  </si>
  <si>
    <t>PERFIL</t>
  </si>
  <si>
    <t>AGRESSIVO</t>
  </si>
  <si>
    <t>VALOR A SER INVESTIMO POR MÊS</t>
  </si>
  <si>
    <t>TIPO DE FII</t>
  </si>
  <si>
    <t>PAPEL</t>
  </si>
  <si>
    <t>TIJOLO</t>
  </si>
  <si>
    <t>HÍBRIDO</t>
  </si>
  <si>
    <t>FOFs</t>
  </si>
  <si>
    <t>DESENVOLVIMENTO</t>
  </si>
  <si>
    <t>HOTELARIAS</t>
  </si>
  <si>
    <t>% Sugerido</t>
  </si>
  <si>
    <t>Valores</t>
  </si>
  <si>
    <t>CHAVE</t>
  </si>
  <si>
    <t>Conservador</t>
  </si>
  <si>
    <t>Moderado</t>
  </si>
  <si>
    <t>Agressivo</t>
  </si>
  <si>
    <t>%</t>
  </si>
  <si>
    <t>Sugestão de Investimento (30%)</t>
  </si>
  <si>
    <t>DESAFIO MÓDULO 2</t>
  </si>
  <si>
    <t>Curso Excel com IA e 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</si>
</sst>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70" formatCode="0.000%"/>
    <numFmt numFmtId="171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b/>
      <sz val="12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2" tint="-9.9978637043366805E-2"/>
      </right>
      <top style="thin">
        <color theme="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1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medium">
        <color theme="1"/>
      </right>
      <top/>
      <bottom style="thin">
        <color theme="2" tint="-9.9978637043366805E-2"/>
      </bottom>
      <diagonal/>
    </border>
    <border>
      <left style="medium">
        <color theme="1"/>
      </left>
      <right style="thin">
        <color theme="2" tint="-9.9978637043366805E-2"/>
      </right>
      <top/>
      <bottom style="medium">
        <color theme="1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theme="2" tint="-9.9978637043366805E-2"/>
      </right>
      <top style="thin">
        <color indexed="64"/>
      </top>
      <bottom style="thin">
        <color theme="2" tint="-9.9978637043366805E-2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1"/>
      </left>
      <right/>
      <top style="thin">
        <color theme="2" tint="-9.9978637043366805E-2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/>
      <bottom style="thin">
        <color theme="2" tint="-9.9978637043366805E-2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" xfId="0" applyFont="1" applyBorder="1"/>
    <xf numFmtId="8" fontId="3" fillId="4" borderId="2" xfId="0" applyNumberFormat="1" applyFont="1" applyFill="1" applyBorder="1" applyAlignment="1">
      <alignment horizontal="right"/>
    </xf>
    <xf numFmtId="8" fontId="3" fillId="4" borderId="4" xfId="0" applyNumberFormat="1" applyFont="1" applyFill="1" applyBorder="1" applyAlignment="1">
      <alignment horizontal="right"/>
    </xf>
    <xf numFmtId="8" fontId="3" fillId="4" borderId="3" xfId="0" applyNumberFormat="1" applyFont="1" applyFill="1" applyBorder="1" applyAlignment="1">
      <alignment horizontal="right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0" borderId="7" xfId="0" applyFont="1" applyBorder="1"/>
    <xf numFmtId="171" fontId="3" fillId="0" borderId="8" xfId="1" applyNumberFormat="1" applyFont="1" applyBorder="1"/>
    <xf numFmtId="0" fontId="3" fillId="0" borderId="9" xfId="0" applyFont="1" applyBorder="1"/>
    <xf numFmtId="10" fontId="3" fillId="0" borderId="10" xfId="0" applyNumberFormat="1" applyFont="1" applyBorder="1"/>
    <xf numFmtId="0" fontId="3" fillId="0" borderId="11" xfId="0" applyFont="1" applyBorder="1"/>
    <xf numFmtId="171" fontId="3" fillId="0" borderId="12" xfId="0" applyNumberFormat="1" applyFont="1" applyBorder="1"/>
    <xf numFmtId="0" fontId="4" fillId="5" borderId="1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5" xfId="0" applyFont="1" applyBorder="1"/>
    <xf numFmtId="171" fontId="3" fillId="0" borderId="16" xfId="0" applyNumberFormat="1" applyFont="1" applyBorder="1" applyAlignment="1">
      <alignment horizontal="right"/>
    </xf>
    <xf numFmtId="0" fontId="3" fillId="0" borderId="17" xfId="0" applyFont="1" applyBorder="1"/>
    <xf numFmtId="1" fontId="3" fillId="0" borderId="18" xfId="0" applyNumberFormat="1" applyFont="1" applyBorder="1" applyAlignment="1">
      <alignment horizontal="right"/>
    </xf>
    <xf numFmtId="170" fontId="3" fillId="0" borderId="18" xfId="2" applyNumberFormat="1" applyFont="1" applyBorder="1" applyAlignment="1">
      <alignment horizontal="right"/>
    </xf>
    <xf numFmtId="0" fontId="3" fillId="2" borderId="9" xfId="0" applyFont="1" applyFill="1" applyBorder="1"/>
    <xf numFmtId="8" fontId="3" fillId="2" borderId="18" xfId="0" applyNumberFormat="1" applyFont="1" applyFill="1" applyBorder="1" applyAlignment="1">
      <alignment horizontal="right"/>
    </xf>
    <xf numFmtId="0" fontId="3" fillId="2" borderId="19" xfId="0" applyFont="1" applyFill="1" applyBorder="1"/>
    <xf numFmtId="8" fontId="3" fillId="2" borderId="12" xfId="0" applyNumberFormat="1" applyFont="1" applyFill="1" applyBorder="1" applyAlignment="1">
      <alignment horizontal="right"/>
    </xf>
    <xf numFmtId="0" fontId="4" fillId="5" borderId="20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8" fontId="3" fillId="4" borderId="23" xfId="0" applyNumberFormat="1" applyFont="1" applyFill="1" applyBorder="1" applyAlignment="1">
      <alignment horizontal="right"/>
    </xf>
    <xf numFmtId="0" fontId="3" fillId="0" borderId="9" xfId="0" applyFont="1" applyBorder="1" applyAlignment="1">
      <alignment horizontal="center"/>
    </xf>
    <xf numFmtId="8" fontId="3" fillId="4" borderId="24" xfId="0" applyNumberFormat="1" applyFont="1" applyFill="1" applyBorder="1" applyAlignment="1">
      <alignment horizontal="right"/>
    </xf>
    <xf numFmtId="8" fontId="3" fillId="4" borderId="18" xfId="0" applyNumberFormat="1" applyFont="1" applyFill="1" applyBorder="1" applyAlignment="1">
      <alignment horizontal="right"/>
    </xf>
    <xf numFmtId="0" fontId="3" fillId="0" borderId="25" xfId="0" applyFont="1" applyBorder="1" applyAlignment="1">
      <alignment horizontal="center"/>
    </xf>
    <xf numFmtId="8" fontId="3" fillId="4" borderId="26" xfId="0" applyNumberFormat="1" applyFont="1" applyFill="1" applyBorder="1" applyAlignment="1">
      <alignment horizontal="right"/>
    </xf>
    <xf numFmtId="8" fontId="3" fillId="4" borderId="12" xfId="0" applyNumberFormat="1" applyFont="1" applyFill="1" applyBorder="1" applyAlignment="1">
      <alignment horizontal="right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3" fillId="2" borderId="0" xfId="0" applyFont="1" applyFill="1"/>
    <xf numFmtId="171" fontId="3" fillId="2" borderId="0" xfId="1" applyNumberFormat="1" applyFont="1" applyFill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171" fontId="3" fillId="0" borderId="0" xfId="0" applyNumberFormat="1" applyFont="1"/>
    <xf numFmtId="171" fontId="3" fillId="2" borderId="0" xfId="0" applyNumberFormat="1" applyFont="1" applyFill="1"/>
    <xf numFmtId="0" fontId="0" fillId="2" borderId="0" xfId="0" applyFill="1"/>
    <xf numFmtId="0" fontId="0" fillId="0" borderId="0" xfId="0" applyBorder="1"/>
    <xf numFmtId="9" fontId="3" fillId="0" borderId="0" xfId="0" applyNumberFormat="1" applyFont="1" applyBorder="1" applyAlignment="1">
      <alignment horizontal="center"/>
    </xf>
    <xf numFmtId="0" fontId="0" fillId="0" borderId="27" xfId="0" applyBorder="1"/>
    <xf numFmtId="0" fontId="3" fillId="0" borderId="27" xfId="0" applyFont="1" applyBorder="1"/>
    <xf numFmtId="9" fontId="3" fillId="0" borderId="27" xfId="0" applyNumberFormat="1" applyFont="1" applyBorder="1" applyAlignment="1">
      <alignment horizontal="center"/>
    </xf>
    <xf numFmtId="0" fontId="0" fillId="0" borderId="28" xfId="0" applyBorder="1"/>
    <xf numFmtId="0" fontId="3" fillId="0" borderId="28" xfId="0" applyFont="1" applyBorder="1"/>
    <xf numFmtId="0" fontId="3" fillId="7" borderId="0" xfId="0" applyFont="1" applyFill="1"/>
    <xf numFmtId="0" fontId="5" fillId="7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Planilha1!$C$28</c:f>
              <c:strCache>
                <c:ptCount val="1"/>
                <c:pt idx="0">
                  <c:v>%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Planilha1!$C$29:$C$34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2-4CA9-843B-B075E3004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36</xdr:row>
      <xdr:rowOff>4762</xdr:rowOff>
    </xdr:from>
    <xdr:to>
      <xdr:col>3</xdr:col>
      <xdr:colOff>1066800</xdr:colOff>
      <xdr:row>51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FE334D-9E62-F107-F013-51D229468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51A5-8D77-4433-8BE5-3DB79A09F305}">
  <dimension ref="A2:Q35"/>
  <sheetViews>
    <sheetView showGridLines="0" tabSelected="1" workbookViewId="0">
      <selection activeCell="D18" sqref="D18"/>
    </sheetView>
  </sheetViews>
  <sheetFormatPr defaultColWidth="0" defaultRowHeight="15" x14ac:dyDescent="0.25"/>
  <cols>
    <col min="1" max="1" width="18" style="1" customWidth="1"/>
    <col min="2" max="2" width="34" style="1" bestFit="1" customWidth="1"/>
    <col min="3" max="3" width="21.28515625" style="2" customWidth="1"/>
    <col min="4" max="4" width="20.7109375" style="1" customWidth="1"/>
    <col min="5" max="5" width="5" style="1" customWidth="1"/>
    <col min="6" max="6" width="5.5703125" style="1" customWidth="1"/>
    <col min="7" max="7" width="5.42578125" style="1" customWidth="1"/>
    <col min="8" max="8" width="4.42578125" style="1" customWidth="1"/>
    <col min="9" max="17" width="0" style="1" hidden="1"/>
    <col min="18" max="16384" width="9.140625" style="1" hidden="1"/>
  </cols>
  <sheetData>
    <row r="2" spans="1:9" ht="18" customHeight="1" x14ac:dyDescent="0.25">
      <c r="A2" s="54"/>
      <c r="B2" s="55" t="s">
        <v>34</v>
      </c>
      <c r="C2" s="55"/>
      <c r="D2" s="55"/>
      <c r="E2" s="54"/>
      <c r="F2" s="54"/>
      <c r="G2" s="54"/>
      <c r="H2" s="54"/>
    </row>
    <row r="3" spans="1:9" ht="20.25" customHeight="1" x14ac:dyDescent="0.25">
      <c r="A3" s="54"/>
      <c r="B3" s="55" t="s">
        <v>33</v>
      </c>
      <c r="C3" s="55"/>
      <c r="D3" s="55"/>
      <c r="E3" s="54"/>
      <c r="F3" s="54"/>
      <c r="G3" s="54"/>
      <c r="H3" s="54"/>
    </row>
    <row r="5" spans="1:9" s="3" customFormat="1" ht="15.75" thickBot="1" x14ac:dyDescent="0.3">
      <c r="C5" s="4"/>
    </row>
    <row r="6" spans="1:9" x14ac:dyDescent="0.25">
      <c r="B6" s="9" t="s">
        <v>11</v>
      </c>
      <c r="C6" s="10"/>
    </row>
    <row r="7" spans="1:9" x14ac:dyDescent="0.25">
      <c r="B7" s="11" t="s">
        <v>13</v>
      </c>
      <c r="C7" s="12">
        <v>4000</v>
      </c>
      <c r="D7" s="3"/>
      <c r="I7" s="5"/>
    </row>
    <row r="8" spans="1:9" x14ac:dyDescent="0.25">
      <c r="B8" s="13" t="s">
        <v>12</v>
      </c>
      <c r="C8" s="14">
        <v>8.8999999999999999E-3</v>
      </c>
      <c r="D8" s="3"/>
    </row>
    <row r="9" spans="1:9" ht="15.75" thickBot="1" x14ac:dyDescent="0.3">
      <c r="A9" s="3"/>
      <c r="B9" s="15" t="s">
        <v>32</v>
      </c>
      <c r="C9" s="16">
        <f>C7*30%</f>
        <v>1200</v>
      </c>
    </row>
    <row r="10" spans="1:9" ht="15.75" thickBot="1" x14ac:dyDescent="0.3">
      <c r="B10" s="3"/>
      <c r="C10" s="4"/>
    </row>
    <row r="11" spans="1:9" x14ac:dyDescent="0.25">
      <c r="A11" s="3"/>
      <c r="B11" s="17" t="s">
        <v>5</v>
      </c>
      <c r="C11" s="18"/>
    </row>
    <row r="12" spans="1:9" x14ac:dyDescent="0.25">
      <c r="B12" s="19" t="s">
        <v>0</v>
      </c>
      <c r="C12" s="20">
        <f>C9</f>
        <v>1200</v>
      </c>
      <c r="D12" s="3"/>
    </row>
    <row r="13" spans="1:9" x14ac:dyDescent="0.25">
      <c r="A13" s="3"/>
      <c r="B13" s="21" t="s">
        <v>1</v>
      </c>
      <c r="C13" s="22">
        <v>10</v>
      </c>
    </row>
    <row r="14" spans="1:9" x14ac:dyDescent="0.25">
      <c r="A14" s="3"/>
      <c r="B14" s="13" t="s">
        <v>2</v>
      </c>
      <c r="C14" s="23">
        <v>1.0789999999999999E-2</v>
      </c>
      <c r="D14" s="3"/>
    </row>
    <row r="15" spans="1:9" x14ac:dyDescent="0.25">
      <c r="B15" s="24" t="s">
        <v>3</v>
      </c>
      <c r="C15" s="25">
        <f>FV($C$14,C13*12,$C$12*-1)</f>
        <v>291941.05503620661</v>
      </c>
      <c r="D15" s="3"/>
    </row>
    <row r="16" spans="1:9" ht="15.75" thickBot="1" x14ac:dyDescent="0.3">
      <c r="A16" s="3"/>
      <c r="B16" s="26" t="s">
        <v>4</v>
      </c>
      <c r="C16" s="27">
        <f>C15*$C$8</f>
        <v>2598.275389822239</v>
      </c>
      <c r="D16" s="3"/>
    </row>
    <row r="17" spans="1:7" ht="15.75" thickBot="1" x14ac:dyDescent="0.3">
      <c r="B17" s="3"/>
      <c r="C17" s="4"/>
    </row>
    <row r="18" spans="1:7" x14ac:dyDescent="0.25">
      <c r="B18" s="17" t="s">
        <v>6</v>
      </c>
      <c r="C18" s="28"/>
      <c r="D18" s="29" t="s">
        <v>14</v>
      </c>
      <c r="E18" s="3"/>
      <c r="F18" s="3"/>
      <c r="G18" s="3"/>
    </row>
    <row r="19" spans="1:7" x14ac:dyDescent="0.25">
      <c r="B19" s="30" t="s">
        <v>7</v>
      </c>
      <c r="C19" s="8">
        <f>FV($C$14,2*12,$C$12*-1)</f>
        <v>32673.152757174259</v>
      </c>
      <c r="D19" s="31">
        <f>C19*$C$8</f>
        <v>290.7910595388509</v>
      </c>
      <c r="E19" s="3"/>
      <c r="F19" s="3"/>
      <c r="G19" s="3"/>
    </row>
    <row r="20" spans="1:7" x14ac:dyDescent="0.25">
      <c r="B20" s="32" t="s">
        <v>8</v>
      </c>
      <c r="C20" s="7">
        <f>FV($C$14,5*12,$C$12*-1)</f>
        <v>100532.29679818517</v>
      </c>
      <c r="D20" s="33">
        <f>C20*$C$8</f>
        <v>894.737441503848</v>
      </c>
      <c r="E20" s="3"/>
      <c r="F20" s="3"/>
      <c r="G20" s="3"/>
    </row>
    <row r="21" spans="1:7" x14ac:dyDescent="0.25">
      <c r="B21" s="32" t="s">
        <v>9</v>
      </c>
      <c r="C21" s="6">
        <f>FV($C$14,10*12,$C$12*-1)</f>
        <v>291941.05503620661</v>
      </c>
      <c r="D21" s="34">
        <f>C21*$C$8</f>
        <v>2598.275389822239</v>
      </c>
    </row>
    <row r="22" spans="1:7" ht="15.75" thickBot="1" x14ac:dyDescent="0.3">
      <c r="A22" s="3"/>
      <c r="B22" s="35" t="s">
        <v>10</v>
      </c>
      <c r="C22" s="36">
        <f>FV($C$14,20*12,$C$12*-1)</f>
        <v>1350238.0801164967</v>
      </c>
      <c r="D22" s="37">
        <f>C22*$C$8</f>
        <v>12017.11891303682</v>
      </c>
      <c r="E22" s="3"/>
      <c r="F22" s="3"/>
      <c r="G22" s="3"/>
    </row>
    <row r="23" spans="1:7" x14ac:dyDescent="0.25">
      <c r="B23" s="3"/>
      <c r="D23" s="3"/>
    </row>
    <row r="25" spans="1:7" x14ac:dyDescent="0.25">
      <c r="B25" s="38" t="s">
        <v>15</v>
      </c>
      <c r="C25" s="39" t="s">
        <v>16</v>
      </c>
    </row>
    <row r="26" spans="1:7" x14ac:dyDescent="0.25">
      <c r="B26" s="40" t="s">
        <v>17</v>
      </c>
      <c r="C26" s="41">
        <v>500</v>
      </c>
    </row>
    <row r="28" spans="1:7" x14ac:dyDescent="0.25">
      <c r="B28" s="43" t="s">
        <v>18</v>
      </c>
      <c r="C28" s="43" t="s">
        <v>25</v>
      </c>
      <c r="D28" s="40" t="s">
        <v>26</v>
      </c>
    </row>
    <row r="29" spans="1:7" x14ac:dyDescent="0.25">
      <c r="B29" s="2" t="s">
        <v>19</v>
      </c>
      <c r="C29" s="42">
        <f>VLOOKUP($C$25&amp;"-"&amp;B29,Planilha2!$A:$D,4,FALSE)</f>
        <v>0.5</v>
      </c>
      <c r="D29" s="44">
        <f>$C$26*C29</f>
        <v>250</v>
      </c>
    </row>
    <row r="30" spans="1:7" x14ac:dyDescent="0.25">
      <c r="B30" s="2" t="s">
        <v>20</v>
      </c>
      <c r="C30" s="42">
        <f>VLOOKUP($C$25&amp;"-"&amp;B30,Planilha2!$A:$D,4,FALSE)</f>
        <v>0.1</v>
      </c>
      <c r="D30" s="44">
        <f t="shared" ref="D30:D34" si="0">$C$26*C30</f>
        <v>50</v>
      </c>
    </row>
    <row r="31" spans="1:7" x14ac:dyDescent="0.25">
      <c r="B31" s="2" t="s">
        <v>21</v>
      </c>
      <c r="C31" s="42">
        <f>VLOOKUP($C$25&amp;"-"&amp;B31,Planilha2!$A:$D,4,FALSE)</f>
        <v>0.05</v>
      </c>
      <c r="D31" s="44">
        <f t="shared" si="0"/>
        <v>25</v>
      </c>
    </row>
    <row r="32" spans="1:7" x14ac:dyDescent="0.25">
      <c r="B32" s="2" t="s">
        <v>22</v>
      </c>
      <c r="C32" s="42">
        <f>VLOOKUP($C$25&amp;"-"&amp;B32,Planilha2!$A:$D,4,FALSE)</f>
        <v>0.05</v>
      </c>
      <c r="D32" s="44">
        <f t="shared" si="0"/>
        <v>25</v>
      </c>
    </row>
    <row r="33" spans="2:4" x14ac:dyDescent="0.25">
      <c r="B33" s="2" t="s">
        <v>23</v>
      </c>
      <c r="C33" s="42">
        <f>VLOOKUP($C$25&amp;"-"&amp;B33,Planilha2!$A:$D,4,FALSE)</f>
        <v>0.2</v>
      </c>
      <c r="D33" s="44">
        <f t="shared" si="0"/>
        <v>100</v>
      </c>
    </row>
    <row r="34" spans="2:4" x14ac:dyDescent="0.25">
      <c r="B34" s="2" t="s">
        <v>24</v>
      </c>
      <c r="C34" s="42">
        <f>VLOOKUP($C$25&amp;"-"&amp;B34,Planilha2!$A:$D,4,FALSE)</f>
        <v>0.1</v>
      </c>
      <c r="D34" s="44">
        <f t="shared" si="0"/>
        <v>50</v>
      </c>
    </row>
    <row r="35" spans="2:4" x14ac:dyDescent="0.25">
      <c r="B35" s="40"/>
      <c r="C35" s="43"/>
      <c r="D35" s="45">
        <f>SUM(D29:D34)</f>
        <v>500</v>
      </c>
    </row>
  </sheetData>
  <mergeCells count="5">
    <mergeCell ref="B11:C11"/>
    <mergeCell ref="B6:C6"/>
    <mergeCell ref="B18:C18"/>
    <mergeCell ref="B2:D2"/>
    <mergeCell ref="B3:D3"/>
  </mergeCells>
  <dataValidations disablePrompts="1" count="1">
    <dataValidation type="list" allowBlank="1" showInputMessage="1" showErrorMessage="1" sqref="C25" xr:uid="{C89AAA95-9D47-4A66-8258-2E8978D16364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2BD0-5C30-4D76-9A6A-C11C330D56E4}">
  <dimension ref="A3:I21"/>
  <sheetViews>
    <sheetView showGridLines="0" workbookViewId="0">
      <selection activeCell="D14" sqref="D14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20.42578125" bestFit="1" customWidth="1"/>
    <col min="4" max="4" width="11.140625" bestFit="1" customWidth="1"/>
    <col min="8" max="8" width="30.85546875" bestFit="1" customWidth="1"/>
  </cols>
  <sheetData>
    <row r="3" spans="1:9" x14ac:dyDescent="0.25">
      <c r="A3" s="46" t="s">
        <v>27</v>
      </c>
      <c r="B3" s="46" t="s">
        <v>15</v>
      </c>
      <c r="C3" s="40" t="s">
        <v>18</v>
      </c>
      <c r="D3" s="43" t="s">
        <v>31</v>
      </c>
    </row>
    <row r="4" spans="1:9" x14ac:dyDescent="0.25">
      <c r="A4" s="47" t="str">
        <f>B4&amp;"-"&amp;C4</f>
        <v>Conservador-PAPEL</v>
      </c>
      <c r="B4" s="47" t="s">
        <v>28</v>
      </c>
      <c r="C4" s="3" t="s">
        <v>19</v>
      </c>
      <c r="D4" s="48">
        <v>0.3</v>
      </c>
    </row>
    <row r="5" spans="1:9" x14ac:dyDescent="0.25">
      <c r="A5" s="47" t="str">
        <f t="shared" ref="A5:A21" si="0">B5&amp;"-"&amp;C5</f>
        <v>Conservador-TIJOLO</v>
      </c>
      <c r="B5" s="47" t="s">
        <v>28</v>
      </c>
      <c r="C5" s="3" t="s">
        <v>20</v>
      </c>
      <c r="D5" s="48">
        <v>0.5</v>
      </c>
    </row>
    <row r="6" spans="1:9" x14ac:dyDescent="0.25">
      <c r="A6" s="47" t="str">
        <f t="shared" si="0"/>
        <v>Conservador-HÍBRIDO</v>
      </c>
      <c r="B6" s="47" t="s">
        <v>28</v>
      </c>
      <c r="C6" s="3" t="s">
        <v>21</v>
      </c>
      <c r="D6" s="48">
        <v>0.1</v>
      </c>
    </row>
    <row r="7" spans="1:9" x14ac:dyDescent="0.25">
      <c r="A7" s="47" t="str">
        <f t="shared" si="0"/>
        <v>Conservador-FOFs</v>
      </c>
      <c r="B7" s="47" t="s">
        <v>28</v>
      </c>
      <c r="C7" s="3" t="s">
        <v>22</v>
      </c>
      <c r="D7" s="48">
        <v>0.1</v>
      </c>
      <c r="I7" t="s">
        <v>31</v>
      </c>
    </row>
    <row r="8" spans="1:9" x14ac:dyDescent="0.25">
      <c r="A8" s="47" t="str">
        <f t="shared" si="0"/>
        <v>Conservador-DESENVOLVIMENTO</v>
      </c>
      <c r="B8" s="47" t="s">
        <v>28</v>
      </c>
      <c r="C8" s="3" t="s">
        <v>23</v>
      </c>
      <c r="D8" s="48">
        <v>0</v>
      </c>
      <c r="H8" t="str">
        <f>A8</f>
        <v>Conservador-DESENVOLVIMENTO</v>
      </c>
      <c r="I8" t="str">
        <f>VLOOKUP(H8,$A:$D,2,FALSE)</f>
        <v>Conservador</v>
      </c>
    </row>
    <row r="9" spans="1:9" ht="15.75" thickBot="1" x14ac:dyDescent="0.3">
      <c r="A9" s="49" t="str">
        <f t="shared" si="0"/>
        <v>Conservador-HOTELARIAS</v>
      </c>
      <c r="B9" s="49" t="s">
        <v>28</v>
      </c>
      <c r="C9" s="50" t="s">
        <v>24</v>
      </c>
      <c r="D9" s="51">
        <v>0</v>
      </c>
    </row>
    <row r="10" spans="1:9" x14ac:dyDescent="0.25">
      <c r="A10" s="47" t="str">
        <f t="shared" si="0"/>
        <v>Moderado-PAPEL</v>
      </c>
      <c r="B10" s="52" t="s">
        <v>29</v>
      </c>
      <c r="C10" s="53" t="s">
        <v>19</v>
      </c>
      <c r="D10" s="48">
        <v>0.32</v>
      </c>
    </row>
    <row r="11" spans="1:9" x14ac:dyDescent="0.25">
      <c r="A11" s="47" t="str">
        <f t="shared" si="0"/>
        <v>Moderado-TIJOLO</v>
      </c>
      <c r="B11" s="47" t="s">
        <v>29</v>
      </c>
      <c r="C11" s="3" t="s">
        <v>20</v>
      </c>
      <c r="D11" s="48">
        <v>0.35</v>
      </c>
    </row>
    <row r="12" spans="1:9" x14ac:dyDescent="0.25">
      <c r="A12" s="47" t="str">
        <f t="shared" si="0"/>
        <v>Moderado-HÍBRIDO</v>
      </c>
      <c r="B12" s="47" t="s">
        <v>29</v>
      </c>
      <c r="C12" s="3" t="s">
        <v>21</v>
      </c>
      <c r="D12" s="48">
        <v>0.08</v>
      </c>
    </row>
    <row r="13" spans="1:9" x14ac:dyDescent="0.25">
      <c r="A13" s="47" t="str">
        <f t="shared" si="0"/>
        <v>Moderado-FOFs</v>
      </c>
      <c r="B13" s="47" t="s">
        <v>29</v>
      </c>
      <c r="C13" s="3" t="s">
        <v>22</v>
      </c>
      <c r="D13" s="48">
        <v>0.05</v>
      </c>
    </row>
    <row r="14" spans="1:9" x14ac:dyDescent="0.25">
      <c r="A14" s="47" t="str">
        <f t="shared" si="0"/>
        <v>Moderado-DESENVOLVIMENTO</v>
      </c>
      <c r="B14" s="47" t="s">
        <v>29</v>
      </c>
      <c r="C14" s="3" t="s">
        <v>23</v>
      </c>
      <c r="D14" s="48">
        <v>0.1</v>
      </c>
    </row>
    <row r="15" spans="1:9" ht="15.75" thickBot="1" x14ac:dyDescent="0.3">
      <c r="A15" s="49" t="str">
        <f t="shared" si="0"/>
        <v>Moderado-HOTELARIAS</v>
      </c>
      <c r="B15" s="49" t="s">
        <v>29</v>
      </c>
      <c r="C15" s="50" t="s">
        <v>24</v>
      </c>
      <c r="D15" s="51">
        <v>0.1</v>
      </c>
    </row>
    <row r="16" spans="1:9" x14ac:dyDescent="0.25">
      <c r="A16" s="47" t="str">
        <f t="shared" si="0"/>
        <v>Agressivo-PAPEL</v>
      </c>
      <c r="B16" t="s">
        <v>30</v>
      </c>
      <c r="C16" s="1" t="s">
        <v>19</v>
      </c>
      <c r="D16" s="48">
        <v>0.5</v>
      </c>
    </row>
    <row r="17" spans="1:4" x14ac:dyDescent="0.25">
      <c r="A17" s="47" t="str">
        <f t="shared" si="0"/>
        <v>Agressivo-TIJOLO</v>
      </c>
      <c r="B17" t="s">
        <v>30</v>
      </c>
      <c r="C17" s="1" t="s">
        <v>20</v>
      </c>
      <c r="D17" s="48">
        <v>0.1</v>
      </c>
    </row>
    <row r="18" spans="1:4" x14ac:dyDescent="0.25">
      <c r="A18" s="47" t="str">
        <f t="shared" si="0"/>
        <v>Agressivo-HÍBRIDO</v>
      </c>
      <c r="B18" t="s">
        <v>30</v>
      </c>
      <c r="C18" s="1" t="s">
        <v>21</v>
      </c>
      <c r="D18" s="48">
        <v>0.05</v>
      </c>
    </row>
    <row r="19" spans="1:4" x14ac:dyDescent="0.25">
      <c r="A19" s="47" t="str">
        <f t="shared" si="0"/>
        <v>Agressivo-FOFs</v>
      </c>
      <c r="B19" t="s">
        <v>30</v>
      </c>
      <c r="C19" s="1" t="s">
        <v>22</v>
      </c>
      <c r="D19" s="48">
        <v>0.05</v>
      </c>
    </row>
    <row r="20" spans="1:4" x14ac:dyDescent="0.25">
      <c r="A20" s="47" t="str">
        <f t="shared" si="0"/>
        <v>Agressivo-DESENVOLVIMENTO</v>
      </c>
      <c r="B20" t="s">
        <v>30</v>
      </c>
      <c r="C20" s="1" t="s">
        <v>23</v>
      </c>
      <c r="D20" s="48">
        <v>0.2</v>
      </c>
    </row>
    <row r="21" spans="1:4" ht="15.75" thickBot="1" x14ac:dyDescent="0.3">
      <c r="A21" s="49" t="str">
        <f t="shared" si="0"/>
        <v>Agressivo-HOTELARIAS</v>
      </c>
      <c r="B21" s="49" t="s">
        <v>30</v>
      </c>
      <c r="C21" s="50" t="s">
        <v>24</v>
      </c>
      <c r="D21" s="5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Planilha2</vt:lpstr>
      <vt:lpstr>Aporte</vt:lpstr>
      <vt:lpstr>DividendoMensal</vt:lpstr>
      <vt:lpstr>Patrimonio</vt:lpstr>
      <vt:lpstr>qtddAnos</vt:lpstr>
      <vt:lpstr>RendimentoCarteira</vt:lpstr>
      <vt:lpstr>Salario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GAL1 - SP REGULA</dc:creator>
  <cp:lastModifiedBy>GAL1 - SP REGULA</cp:lastModifiedBy>
  <dcterms:created xsi:type="dcterms:W3CDTF">2026-10-07T18:28:48Z</dcterms:created>
  <dcterms:modified xsi:type="dcterms:W3CDTF">2026-10-08T13:12:42Z</dcterms:modified>
</cp:coreProperties>
</file>